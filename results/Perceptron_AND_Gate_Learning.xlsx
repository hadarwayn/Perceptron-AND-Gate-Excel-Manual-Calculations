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ptron 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1"/>
    </font>
    <font>
      <b val="1"/>
      <sz val="14"/>
    </font>
    <font>
      <b val="1"/>
      <color rgb="00FFFFFF"/>
    </font>
    <font>
      <b val="1"/>
      <color rgb="00FF0000"/>
    </font>
    <font>
      <b val="1"/>
      <sz val="12"/>
    </font>
    <font>
      <i val="1"/>
      <color rgb="00666666"/>
    </font>
    <font>
      <b val="1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EEBF7"/>
      </patternFill>
    </fill>
    <fill>
      <patternFill patternType="solid">
        <fgColor rgb="FFE2D0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5" borderId="1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5" borderId="1" pivotButton="0" quotePrefix="0" xfId="0"/>
    <xf numFmtId="0" fontId="0" fillId="7" borderId="1" pivotButton="0" quotePrefix="0" xfId="0"/>
    <xf numFmtId="0" fontId="8" fillId="0" borderId="0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0" customWidth="1" min="11" max="11"/>
    <col width="8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PERCEPTRON LEARNING - Watch AI Learn Step by Step!</t>
        </is>
      </c>
    </row>
    <row r="2">
      <c r="A2" s="2" t="inlineStr">
        <is>
          <t>This Excel shows how a simple 'brain' learns the AND gate. Change the YELLOW cells to experiment!</t>
        </is>
      </c>
    </row>
    <row r="4">
      <c r="A4" s="3" t="inlineStr">
        <is>
          <t>THE AND GATE TRUTH TABLE</t>
        </is>
      </c>
    </row>
    <row r="5">
      <c r="A5" s="4" t="inlineStr">
        <is>
          <t>x0 (bias)</t>
        </is>
      </c>
      <c r="B5" s="4" t="inlineStr">
        <is>
          <t>x1</t>
        </is>
      </c>
      <c r="C5" s="4" t="inlineStr">
        <is>
          <t>x2</t>
        </is>
      </c>
      <c r="D5" s="4" t="inlineStr">
        <is>
          <t>Output</t>
        </is>
      </c>
      <c r="E5" s="4" t="inlineStr">
        <is>
          <t>Plain English</t>
        </is>
      </c>
    </row>
    <row r="6">
      <c r="A6" s="5" t="n">
        <v>1</v>
      </c>
      <c r="B6" s="5" t="n">
        <v>0</v>
      </c>
      <c r="C6" s="5" t="n">
        <v>0</v>
      </c>
      <c r="D6" s="6" t="n">
        <v>0</v>
      </c>
      <c r="E6" s="6" t="inlineStr">
        <is>
          <t>OFF + OFF = OFF</t>
        </is>
      </c>
    </row>
    <row r="7">
      <c r="A7" s="5" t="n">
        <v>1</v>
      </c>
      <c r="B7" s="5" t="n">
        <v>0</v>
      </c>
      <c r="C7" s="5" t="n">
        <v>1</v>
      </c>
      <c r="D7" s="6" t="n">
        <v>0</v>
      </c>
      <c r="E7" s="6" t="inlineStr">
        <is>
          <t>OFF + ON = OFF</t>
        </is>
      </c>
    </row>
    <row r="8">
      <c r="A8" s="5" t="n">
        <v>1</v>
      </c>
      <c r="B8" s="5" t="n">
        <v>1</v>
      </c>
      <c r="C8" s="5" t="n">
        <v>0</v>
      </c>
      <c r="D8" s="6" t="n">
        <v>0</v>
      </c>
      <c r="E8" s="6" t="inlineStr">
        <is>
          <t>ON + OFF = OFF</t>
        </is>
      </c>
    </row>
    <row r="9">
      <c r="A9" s="5" t="n">
        <v>1</v>
      </c>
      <c r="B9" s="5" t="n">
        <v>1</v>
      </c>
      <c r="C9" s="5" t="n">
        <v>1</v>
      </c>
      <c r="D9" s="6" t="n">
        <v>1</v>
      </c>
      <c r="E9" s="6" t="inlineStr">
        <is>
          <t>ON + ON = ON!</t>
        </is>
      </c>
    </row>
    <row r="11">
      <c r="A11" s="3" t="inlineStr">
        <is>
          <t>INITIAL WEIGHTS (The Brain's Starting Guesses)</t>
        </is>
      </c>
    </row>
    <row r="12">
      <c r="A12" s="7" t="inlineStr">
        <is>
          <t>CHANGE THESE YELLOW CELLS TO EXPERIMENT!</t>
        </is>
      </c>
    </row>
    <row r="13">
      <c r="A13" t="inlineStr">
        <is>
          <t>W0 (Bias Weight):</t>
        </is>
      </c>
      <c r="C13" s="8" t="n">
        <v>3</v>
      </c>
      <c r="D13" s="9" t="inlineStr">
        <is>
          <t>Controls the 'default' guess</t>
        </is>
      </c>
    </row>
    <row r="14">
      <c r="A14" t="inlineStr">
        <is>
          <t>W1 (x1 Weight):</t>
        </is>
      </c>
      <c r="C14" s="8" t="n">
        <v>3</v>
      </c>
      <c r="D14" s="9" t="inlineStr">
        <is>
          <t>How important is x1?</t>
        </is>
      </c>
    </row>
    <row r="15">
      <c r="A15" t="inlineStr">
        <is>
          <t>W2 (x2 Weight):</t>
        </is>
      </c>
      <c r="C15" s="8" t="n">
        <v>3</v>
      </c>
      <c r="D15" s="9" t="inlineStr">
        <is>
          <t>How important is x2?</t>
        </is>
      </c>
    </row>
    <row r="17">
      <c r="A17" s="3" t="inlineStr">
        <is>
          <t>WATCH THE PERCEPTRON LEARN - Every Calculation Visible!</t>
        </is>
      </c>
    </row>
    <row r="18">
      <c r="A18" s="10" t="inlineStr">
        <is>
          <t>#</t>
        </is>
      </c>
      <c r="B18" s="10" t="inlineStr">
        <is>
          <t>Sample</t>
        </is>
      </c>
      <c r="C18" s="11" t="inlineStr">
        <is>
          <t>INPUTS</t>
        </is>
      </c>
      <c r="F18" s="10" t="inlineStr">
        <is>
          <t>Target</t>
        </is>
      </c>
      <c r="G18" s="12" t="inlineStr">
        <is>
          <t>CURRENT WEIGHTS</t>
        </is>
      </c>
      <c r="J18" s="13" t="inlineStr">
        <is>
          <t>Z (Dot)</t>
        </is>
      </c>
      <c r="K18" s="10" t="inlineStr">
        <is>
          <t>Pred</t>
        </is>
      </c>
      <c r="L18" s="10" t="inlineStr">
        <is>
          <t>Error</t>
        </is>
      </c>
      <c r="M18" s="10" t="inlineStr">
        <is>
          <t>Status</t>
        </is>
      </c>
      <c r="N18" s="12" t="inlineStr">
        <is>
          <t>NEW WEIGHTS</t>
        </is>
      </c>
      <c r="Q18" s="10" t="inlineStr">
        <is>
          <t>Result</t>
        </is>
      </c>
    </row>
    <row r="19">
      <c r="A19" s="14" t="inlineStr">
        <is>
          <t>#</t>
        </is>
      </c>
      <c r="B19" s="14" t="inlineStr">
        <is>
          <t>Samp</t>
        </is>
      </c>
      <c r="C19" s="14" t="inlineStr">
        <is>
          <t>x0</t>
        </is>
      </c>
      <c r="D19" s="14" t="inlineStr">
        <is>
          <t>x1</t>
        </is>
      </c>
      <c r="E19" s="14" t="inlineStr">
        <is>
          <t>x2</t>
        </is>
      </c>
      <c r="F19" s="14" t="inlineStr">
        <is>
          <t>Actual</t>
        </is>
      </c>
      <c r="G19" s="14" t="inlineStr">
        <is>
          <t>W0</t>
        </is>
      </c>
      <c r="H19" s="14" t="inlineStr">
        <is>
          <t>W1</t>
        </is>
      </c>
      <c r="I19" s="14" t="inlineStr">
        <is>
          <t>W2</t>
        </is>
      </c>
      <c r="J19" s="14" t="inlineStr">
        <is>
          <t>Z=W*X</t>
        </is>
      </c>
      <c r="K19" s="14" t="inlineStr">
        <is>
          <t>Pred</t>
        </is>
      </c>
      <c r="L19" s="14" t="inlineStr">
        <is>
          <t>Err</t>
        </is>
      </c>
      <c r="M19" s="14" t="inlineStr">
        <is>
          <t>Status</t>
        </is>
      </c>
      <c r="N19" s="14" t="inlineStr">
        <is>
          <t>W0'</t>
        </is>
      </c>
      <c r="O19" s="14" t="inlineStr">
        <is>
          <t>W1'</t>
        </is>
      </c>
      <c r="P19" s="14" t="inlineStr">
        <is>
          <t>W2'</t>
        </is>
      </c>
      <c r="Q19" s="14" t="inlineStr"/>
    </row>
    <row r="20">
      <c r="A20" s="6" t="n">
        <v>1</v>
      </c>
      <c r="B20" s="6" t="n">
        <v>1</v>
      </c>
      <c r="C20" s="5">
        <f>INDEX($A$6:$A$9,B20)</f>
        <v/>
      </c>
      <c r="D20" s="5">
        <f>INDEX($B$6:$B$9,B20)</f>
        <v/>
      </c>
      <c r="E20" s="5">
        <f>INDEX($C$6:$C$9,B20)</f>
        <v/>
      </c>
      <c r="F20" s="6">
        <f>INDEX($D$6:$D$9,B20)</f>
        <v/>
      </c>
      <c r="G20" s="15">
        <f>$C$13</f>
        <v/>
      </c>
      <c r="H20" s="15">
        <f>$C$14</f>
        <v/>
      </c>
      <c r="I20" s="15">
        <f>$C$15</f>
        <v/>
      </c>
      <c r="J20" s="16">
        <f>G20*C20+H20*D20+I20*E20</f>
        <v/>
      </c>
      <c r="K20" s="6">
        <f>IF(J20&gt;0,1,0)</f>
        <v/>
      </c>
      <c r="L20" s="6">
        <f>F20-K20</f>
        <v/>
      </c>
      <c r="M20" s="6">
        <f>IF(L20=0,"CORRECT","WRONG")</f>
        <v/>
      </c>
      <c r="N20" s="15">
        <f>G20+L20*C20</f>
        <v/>
      </c>
      <c r="O20" s="15">
        <f>H20+L20*D20</f>
        <v/>
      </c>
      <c r="P20" s="15">
        <f>I20+L20*E20</f>
        <v/>
      </c>
      <c r="Q20" s="6">
        <f>IF(L20=0,"V","X")</f>
        <v/>
      </c>
    </row>
    <row r="21">
      <c r="A21" s="6" t="n">
        <v>2</v>
      </c>
      <c r="B21" s="6" t="n">
        <v>2</v>
      </c>
      <c r="C21" s="5">
        <f>INDEX($A$6:$A$9,B21)</f>
        <v/>
      </c>
      <c r="D21" s="5">
        <f>INDEX($B$6:$B$9,B21)</f>
        <v/>
      </c>
      <c r="E21" s="5">
        <f>INDEX($C$6:$C$9,B21)</f>
        <v/>
      </c>
      <c r="F21" s="6">
        <f>INDEX($D$6:$D$9,B21)</f>
        <v/>
      </c>
      <c r="G21" s="15">
        <f>N20</f>
        <v/>
      </c>
      <c r="H21" s="15">
        <f>O20</f>
        <v/>
      </c>
      <c r="I21" s="15">
        <f>P20</f>
        <v/>
      </c>
      <c r="J21" s="16">
        <f>G21*C21+H21*D21+I21*E21</f>
        <v/>
      </c>
      <c r="K21" s="6">
        <f>IF(J21&gt;0,1,0)</f>
        <v/>
      </c>
      <c r="L21" s="6">
        <f>F21-K21</f>
        <v/>
      </c>
      <c r="M21" s="6">
        <f>IF(L21=0,"CORRECT","WRONG")</f>
        <v/>
      </c>
      <c r="N21" s="15">
        <f>G21+L21*C21</f>
        <v/>
      </c>
      <c r="O21" s="15">
        <f>H21+L21*D21</f>
        <v/>
      </c>
      <c r="P21" s="15">
        <f>I21+L21*E21</f>
        <v/>
      </c>
      <c r="Q21" s="6">
        <f>IF(L21=0,"V","X")</f>
        <v/>
      </c>
    </row>
    <row r="22">
      <c r="A22" s="6" t="n">
        <v>3</v>
      </c>
      <c r="B22" s="6" t="n">
        <v>3</v>
      </c>
      <c r="C22" s="5">
        <f>INDEX($A$6:$A$9,B22)</f>
        <v/>
      </c>
      <c r="D22" s="5">
        <f>INDEX($B$6:$B$9,B22)</f>
        <v/>
      </c>
      <c r="E22" s="5">
        <f>INDEX($C$6:$C$9,B22)</f>
        <v/>
      </c>
      <c r="F22" s="6">
        <f>INDEX($D$6:$D$9,B22)</f>
        <v/>
      </c>
      <c r="G22" s="15">
        <f>N21</f>
        <v/>
      </c>
      <c r="H22" s="15">
        <f>O21</f>
        <v/>
      </c>
      <c r="I22" s="15">
        <f>P21</f>
        <v/>
      </c>
      <c r="J22" s="16">
        <f>G22*C22+H22*D22+I22*E22</f>
        <v/>
      </c>
      <c r="K22" s="6">
        <f>IF(J22&gt;0,1,0)</f>
        <v/>
      </c>
      <c r="L22" s="6">
        <f>F22-K22</f>
        <v/>
      </c>
      <c r="M22" s="6">
        <f>IF(L22=0,"CORRECT","WRONG")</f>
        <v/>
      </c>
      <c r="N22" s="15">
        <f>G22+L22*C22</f>
        <v/>
      </c>
      <c r="O22" s="15">
        <f>H22+L22*D22</f>
        <v/>
      </c>
      <c r="P22" s="15">
        <f>I22+L22*E22</f>
        <v/>
      </c>
      <c r="Q22" s="6">
        <f>IF(L22=0,"V","X")</f>
        <v/>
      </c>
    </row>
    <row r="23">
      <c r="A23" s="6" t="n">
        <v>4</v>
      </c>
      <c r="B23" s="6" t="n">
        <v>4</v>
      </c>
      <c r="C23" s="5">
        <f>INDEX($A$6:$A$9,B23)</f>
        <v/>
      </c>
      <c r="D23" s="5">
        <f>INDEX($B$6:$B$9,B23)</f>
        <v/>
      </c>
      <c r="E23" s="5">
        <f>INDEX($C$6:$C$9,B23)</f>
        <v/>
      </c>
      <c r="F23" s="6">
        <f>INDEX($D$6:$D$9,B23)</f>
        <v/>
      </c>
      <c r="G23" s="15">
        <f>N22</f>
        <v/>
      </c>
      <c r="H23" s="15">
        <f>O22</f>
        <v/>
      </c>
      <c r="I23" s="15">
        <f>P22</f>
        <v/>
      </c>
      <c r="J23" s="16">
        <f>G23*C23+H23*D23+I23*E23</f>
        <v/>
      </c>
      <c r="K23" s="6">
        <f>IF(J23&gt;0,1,0)</f>
        <v/>
      </c>
      <c r="L23" s="6">
        <f>F23-K23</f>
        <v/>
      </c>
      <c r="M23" s="6">
        <f>IF(L23=0,"CORRECT","WRONG")</f>
        <v/>
      </c>
      <c r="N23" s="15">
        <f>G23+L23*C23</f>
        <v/>
      </c>
      <c r="O23" s="15">
        <f>H23+L23*D23</f>
        <v/>
      </c>
      <c r="P23" s="15">
        <f>I23+L23*E23</f>
        <v/>
      </c>
      <c r="Q23" s="6">
        <f>IF(L23=0,"V","X")</f>
        <v/>
      </c>
    </row>
    <row r="24">
      <c r="A24" s="6" t="n">
        <v>5</v>
      </c>
      <c r="B24" s="6" t="n">
        <v>1</v>
      </c>
      <c r="C24" s="5">
        <f>INDEX($A$6:$A$9,B24)</f>
        <v/>
      </c>
      <c r="D24" s="5">
        <f>INDEX($B$6:$B$9,B24)</f>
        <v/>
      </c>
      <c r="E24" s="5">
        <f>INDEX($C$6:$C$9,B24)</f>
        <v/>
      </c>
      <c r="F24" s="6">
        <f>INDEX($D$6:$D$9,B24)</f>
        <v/>
      </c>
      <c r="G24" s="15">
        <f>N23</f>
        <v/>
      </c>
      <c r="H24" s="15">
        <f>O23</f>
        <v/>
      </c>
      <c r="I24" s="15">
        <f>P23</f>
        <v/>
      </c>
      <c r="J24" s="16">
        <f>G24*C24+H24*D24+I24*E24</f>
        <v/>
      </c>
      <c r="K24" s="6">
        <f>IF(J24&gt;0,1,0)</f>
        <v/>
      </c>
      <c r="L24" s="6">
        <f>F24-K24</f>
        <v/>
      </c>
      <c r="M24" s="6">
        <f>IF(L24=0,"CORRECT","WRONG")</f>
        <v/>
      </c>
      <c r="N24" s="15">
        <f>G24+L24*C24</f>
        <v/>
      </c>
      <c r="O24" s="15">
        <f>H24+L24*D24</f>
        <v/>
      </c>
      <c r="P24" s="15">
        <f>I24+L24*E24</f>
        <v/>
      </c>
      <c r="Q24" s="6">
        <f>IF(L24=0,"V","X")</f>
        <v/>
      </c>
    </row>
    <row r="25">
      <c r="A25" s="6" t="n">
        <v>6</v>
      </c>
      <c r="B25" s="6" t="n">
        <v>2</v>
      </c>
      <c r="C25" s="5">
        <f>INDEX($A$6:$A$9,B25)</f>
        <v/>
      </c>
      <c r="D25" s="5">
        <f>INDEX($B$6:$B$9,B25)</f>
        <v/>
      </c>
      <c r="E25" s="5">
        <f>INDEX($C$6:$C$9,B25)</f>
        <v/>
      </c>
      <c r="F25" s="6">
        <f>INDEX($D$6:$D$9,B25)</f>
        <v/>
      </c>
      <c r="G25" s="15">
        <f>N24</f>
        <v/>
      </c>
      <c r="H25" s="15">
        <f>O24</f>
        <v/>
      </c>
      <c r="I25" s="15">
        <f>P24</f>
        <v/>
      </c>
      <c r="J25" s="16">
        <f>G25*C25+H25*D25+I25*E25</f>
        <v/>
      </c>
      <c r="K25" s="6">
        <f>IF(J25&gt;0,1,0)</f>
        <v/>
      </c>
      <c r="L25" s="6">
        <f>F25-K25</f>
        <v/>
      </c>
      <c r="M25" s="6">
        <f>IF(L25=0,"CORRECT","WRONG")</f>
        <v/>
      </c>
      <c r="N25" s="15">
        <f>G25+L25*C25</f>
        <v/>
      </c>
      <c r="O25" s="15">
        <f>H25+L25*D25</f>
        <v/>
      </c>
      <c r="P25" s="15">
        <f>I25+L25*E25</f>
        <v/>
      </c>
      <c r="Q25" s="6">
        <f>IF(L25=0,"V","X")</f>
        <v/>
      </c>
    </row>
    <row r="26">
      <c r="A26" s="6" t="n">
        <v>7</v>
      </c>
      <c r="B26" s="6" t="n">
        <v>3</v>
      </c>
      <c r="C26" s="5">
        <f>INDEX($A$6:$A$9,B26)</f>
        <v/>
      </c>
      <c r="D26" s="5">
        <f>INDEX($B$6:$B$9,B26)</f>
        <v/>
      </c>
      <c r="E26" s="5">
        <f>INDEX($C$6:$C$9,B26)</f>
        <v/>
      </c>
      <c r="F26" s="6">
        <f>INDEX($D$6:$D$9,B26)</f>
        <v/>
      </c>
      <c r="G26" s="15">
        <f>N25</f>
        <v/>
      </c>
      <c r="H26" s="15">
        <f>O25</f>
        <v/>
      </c>
      <c r="I26" s="15">
        <f>P25</f>
        <v/>
      </c>
      <c r="J26" s="16">
        <f>G26*C26+H26*D26+I26*E26</f>
        <v/>
      </c>
      <c r="K26" s="6">
        <f>IF(J26&gt;0,1,0)</f>
        <v/>
      </c>
      <c r="L26" s="6">
        <f>F26-K26</f>
        <v/>
      </c>
      <c r="M26" s="6">
        <f>IF(L26=0,"CORRECT","WRONG")</f>
        <v/>
      </c>
      <c r="N26" s="15">
        <f>G26+L26*C26</f>
        <v/>
      </c>
      <c r="O26" s="15">
        <f>H26+L26*D26</f>
        <v/>
      </c>
      <c r="P26" s="15">
        <f>I26+L26*E26</f>
        <v/>
      </c>
      <c r="Q26" s="6">
        <f>IF(L26=0,"V","X")</f>
        <v/>
      </c>
    </row>
    <row r="27">
      <c r="A27" s="6" t="n">
        <v>8</v>
      </c>
      <c r="B27" s="6" t="n">
        <v>4</v>
      </c>
      <c r="C27" s="5">
        <f>INDEX($A$6:$A$9,B27)</f>
        <v/>
      </c>
      <c r="D27" s="5">
        <f>INDEX($B$6:$B$9,B27)</f>
        <v/>
      </c>
      <c r="E27" s="5">
        <f>INDEX($C$6:$C$9,B27)</f>
        <v/>
      </c>
      <c r="F27" s="6">
        <f>INDEX($D$6:$D$9,B27)</f>
        <v/>
      </c>
      <c r="G27" s="15">
        <f>N26</f>
        <v/>
      </c>
      <c r="H27" s="15">
        <f>O26</f>
        <v/>
      </c>
      <c r="I27" s="15">
        <f>P26</f>
        <v/>
      </c>
      <c r="J27" s="16">
        <f>G27*C27+H27*D27+I27*E27</f>
        <v/>
      </c>
      <c r="K27" s="6">
        <f>IF(J27&gt;0,1,0)</f>
        <v/>
      </c>
      <c r="L27" s="6">
        <f>F27-K27</f>
        <v/>
      </c>
      <c r="M27" s="6">
        <f>IF(L27=0,"CORRECT","WRONG")</f>
        <v/>
      </c>
      <c r="N27" s="15">
        <f>G27+L27*C27</f>
        <v/>
      </c>
      <c r="O27" s="15">
        <f>H27+L27*D27</f>
        <v/>
      </c>
      <c r="P27" s="15">
        <f>I27+L27*E27</f>
        <v/>
      </c>
      <c r="Q27" s="6">
        <f>IF(L27=0,"V","X")</f>
        <v/>
      </c>
    </row>
    <row r="28">
      <c r="A28" s="6" t="n">
        <v>9</v>
      </c>
      <c r="B28" s="6" t="n">
        <v>1</v>
      </c>
      <c r="C28" s="5">
        <f>INDEX($A$6:$A$9,B28)</f>
        <v/>
      </c>
      <c r="D28" s="5">
        <f>INDEX($B$6:$B$9,B28)</f>
        <v/>
      </c>
      <c r="E28" s="5">
        <f>INDEX($C$6:$C$9,B28)</f>
        <v/>
      </c>
      <c r="F28" s="6">
        <f>INDEX($D$6:$D$9,B28)</f>
        <v/>
      </c>
      <c r="G28" s="15">
        <f>N27</f>
        <v/>
      </c>
      <c r="H28" s="15">
        <f>O27</f>
        <v/>
      </c>
      <c r="I28" s="15">
        <f>P27</f>
        <v/>
      </c>
      <c r="J28" s="16">
        <f>G28*C28+H28*D28+I28*E28</f>
        <v/>
      </c>
      <c r="K28" s="6">
        <f>IF(J28&gt;0,1,0)</f>
        <v/>
      </c>
      <c r="L28" s="6">
        <f>F28-K28</f>
        <v/>
      </c>
      <c r="M28" s="6">
        <f>IF(L28=0,"CORRECT","WRONG")</f>
        <v/>
      </c>
      <c r="N28" s="15">
        <f>G28+L28*C28</f>
        <v/>
      </c>
      <c r="O28" s="15">
        <f>H28+L28*D28</f>
        <v/>
      </c>
      <c r="P28" s="15">
        <f>I28+L28*E28</f>
        <v/>
      </c>
      <c r="Q28" s="6">
        <f>IF(L28=0,"V","X")</f>
        <v/>
      </c>
    </row>
    <row r="29">
      <c r="A29" s="6" t="n">
        <v>10</v>
      </c>
      <c r="B29" s="6" t="n">
        <v>2</v>
      </c>
      <c r="C29" s="5">
        <f>INDEX($A$6:$A$9,B29)</f>
        <v/>
      </c>
      <c r="D29" s="5">
        <f>INDEX($B$6:$B$9,B29)</f>
        <v/>
      </c>
      <c r="E29" s="5">
        <f>INDEX($C$6:$C$9,B29)</f>
        <v/>
      </c>
      <c r="F29" s="6">
        <f>INDEX($D$6:$D$9,B29)</f>
        <v/>
      </c>
      <c r="G29" s="15">
        <f>N28</f>
        <v/>
      </c>
      <c r="H29" s="15">
        <f>O28</f>
        <v/>
      </c>
      <c r="I29" s="15">
        <f>P28</f>
        <v/>
      </c>
      <c r="J29" s="16">
        <f>G29*C29+H29*D29+I29*E29</f>
        <v/>
      </c>
      <c r="K29" s="6">
        <f>IF(J29&gt;0,1,0)</f>
        <v/>
      </c>
      <c r="L29" s="6">
        <f>F29-K29</f>
        <v/>
      </c>
      <c r="M29" s="6">
        <f>IF(L29=0,"CORRECT","WRONG")</f>
        <v/>
      </c>
      <c r="N29" s="15">
        <f>G29+L29*C29</f>
        <v/>
      </c>
      <c r="O29" s="15">
        <f>H29+L29*D29</f>
        <v/>
      </c>
      <c r="P29" s="15">
        <f>I29+L29*E29</f>
        <v/>
      </c>
      <c r="Q29" s="6">
        <f>IF(L29=0,"V","X")</f>
        <v/>
      </c>
    </row>
    <row r="30">
      <c r="A30" s="6" t="n">
        <v>11</v>
      </c>
      <c r="B30" s="6" t="n">
        <v>3</v>
      </c>
      <c r="C30" s="5">
        <f>INDEX($A$6:$A$9,B30)</f>
        <v/>
      </c>
      <c r="D30" s="5">
        <f>INDEX($B$6:$B$9,B30)</f>
        <v/>
      </c>
      <c r="E30" s="5">
        <f>INDEX($C$6:$C$9,B30)</f>
        <v/>
      </c>
      <c r="F30" s="6">
        <f>INDEX($D$6:$D$9,B30)</f>
        <v/>
      </c>
      <c r="G30" s="15">
        <f>N29</f>
        <v/>
      </c>
      <c r="H30" s="15">
        <f>O29</f>
        <v/>
      </c>
      <c r="I30" s="15">
        <f>P29</f>
        <v/>
      </c>
      <c r="J30" s="16">
        <f>G30*C30+H30*D30+I30*E30</f>
        <v/>
      </c>
      <c r="K30" s="6">
        <f>IF(J30&gt;0,1,0)</f>
        <v/>
      </c>
      <c r="L30" s="6">
        <f>F30-K30</f>
        <v/>
      </c>
      <c r="M30" s="6">
        <f>IF(L30=0,"CORRECT","WRONG")</f>
        <v/>
      </c>
      <c r="N30" s="15">
        <f>G30+L30*C30</f>
        <v/>
      </c>
      <c r="O30" s="15">
        <f>H30+L30*D30</f>
        <v/>
      </c>
      <c r="P30" s="15">
        <f>I30+L30*E30</f>
        <v/>
      </c>
      <c r="Q30" s="6">
        <f>IF(L30=0,"V","X")</f>
        <v/>
      </c>
    </row>
    <row r="31">
      <c r="A31" s="6" t="n">
        <v>12</v>
      </c>
      <c r="B31" s="6" t="n">
        <v>4</v>
      </c>
      <c r="C31" s="5">
        <f>INDEX($A$6:$A$9,B31)</f>
        <v/>
      </c>
      <c r="D31" s="5">
        <f>INDEX($B$6:$B$9,B31)</f>
        <v/>
      </c>
      <c r="E31" s="5">
        <f>INDEX($C$6:$C$9,B31)</f>
        <v/>
      </c>
      <c r="F31" s="6">
        <f>INDEX($D$6:$D$9,B31)</f>
        <v/>
      </c>
      <c r="G31" s="15">
        <f>N30</f>
        <v/>
      </c>
      <c r="H31" s="15">
        <f>O30</f>
        <v/>
      </c>
      <c r="I31" s="15">
        <f>P30</f>
        <v/>
      </c>
      <c r="J31" s="16">
        <f>G31*C31+H31*D31+I31*E31</f>
        <v/>
      </c>
      <c r="K31" s="6">
        <f>IF(J31&gt;0,1,0)</f>
        <v/>
      </c>
      <c r="L31" s="6">
        <f>F31-K31</f>
        <v/>
      </c>
      <c r="M31" s="6">
        <f>IF(L31=0,"CORRECT","WRONG")</f>
        <v/>
      </c>
      <c r="N31" s="15">
        <f>G31+L31*C31</f>
        <v/>
      </c>
      <c r="O31" s="15">
        <f>H31+L31*D31</f>
        <v/>
      </c>
      <c r="P31" s="15">
        <f>I31+L31*E31</f>
        <v/>
      </c>
      <c r="Q31" s="6">
        <f>IF(L31=0,"V","X")</f>
        <v/>
      </c>
    </row>
    <row r="32">
      <c r="A32" s="6" t="n">
        <v>13</v>
      </c>
      <c r="B32" s="6" t="n">
        <v>1</v>
      </c>
      <c r="C32" s="5">
        <f>INDEX($A$6:$A$9,B32)</f>
        <v/>
      </c>
      <c r="D32" s="5">
        <f>INDEX($B$6:$B$9,B32)</f>
        <v/>
      </c>
      <c r="E32" s="5">
        <f>INDEX($C$6:$C$9,B32)</f>
        <v/>
      </c>
      <c r="F32" s="6">
        <f>INDEX($D$6:$D$9,B32)</f>
        <v/>
      </c>
      <c r="G32" s="15">
        <f>N31</f>
        <v/>
      </c>
      <c r="H32" s="15">
        <f>O31</f>
        <v/>
      </c>
      <c r="I32" s="15">
        <f>P31</f>
        <v/>
      </c>
      <c r="J32" s="16">
        <f>G32*C32+H32*D32+I32*E32</f>
        <v/>
      </c>
      <c r="K32" s="6">
        <f>IF(J32&gt;0,1,0)</f>
        <v/>
      </c>
      <c r="L32" s="6">
        <f>F32-K32</f>
        <v/>
      </c>
      <c r="M32" s="6">
        <f>IF(L32=0,"CORRECT","WRONG")</f>
        <v/>
      </c>
      <c r="N32" s="15">
        <f>G32+L32*C32</f>
        <v/>
      </c>
      <c r="O32" s="15">
        <f>H32+L32*D32</f>
        <v/>
      </c>
      <c r="P32" s="15">
        <f>I32+L32*E32</f>
        <v/>
      </c>
      <c r="Q32" s="6">
        <f>IF(L32=0,"V","X")</f>
        <v/>
      </c>
    </row>
    <row r="33">
      <c r="A33" s="6" t="n">
        <v>14</v>
      </c>
      <c r="B33" s="6" t="n">
        <v>2</v>
      </c>
      <c r="C33" s="5">
        <f>INDEX($A$6:$A$9,B33)</f>
        <v/>
      </c>
      <c r="D33" s="5">
        <f>INDEX($B$6:$B$9,B33)</f>
        <v/>
      </c>
      <c r="E33" s="5">
        <f>INDEX($C$6:$C$9,B33)</f>
        <v/>
      </c>
      <c r="F33" s="6">
        <f>INDEX($D$6:$D$9,B33)</f>
        <v/>
      </c>
      <c r="G33" s="15">
        <f>N32</f>
        <v/>
      </c>
      <c r="H33" s="15">
        <f>O32</f>
        <v/>
      </c>
      <c r="I33" s="15">
        <f>P32</f>
        <v/>
      </c>
      <c r="J33" s="16">
        <f>G33*C33+H33*D33+I33*E33</f>
        <v/>
      </c>
      <c r="K33" s="6">
        <f>IF(J33&gt;0,1,0)</f>
        <v/>
      </c>
      <c r="L33" s="6">
        <f>F33-K33</f>
        <v/>
      </c>
      <c r="M33" s="6">
        <f>IF(L33=0,"CORRECT","WRONG")</f>
        <v/>
      </c>
      <c r="N33" s="15">
        <f>G33+L33*C33</f>
        <v/>
      </c>
      <c r="O33" s="15">
        <f>H33+L33*D33</f>
        <v/>
      </c>
      <c r="P33" s="15">
        <f>I33+L33*E33</f>
        <v/>
      </c>
      <c r="Q33" s="6">
        <f>IF(L33=0,"V","X")</f>
        <v/>
      </c>
    </row>
    <row r="34">
      <c r="A34" s="6" t="n">
        <v>15</v>
      </c>
      <c r="B34" s="6" t="n">
        <v>3</v>
      </c>
      <c r="C34" s="5">
        <f>INDEX($A$6:$A$9,B34)</f>
        <v/>
      </c>
      <c r="D34" s="5">
        <f>INDEX($B$6:$B$9,B34)</f>
        <v/>
      </c>
      <c r="E34" s="5">
        <f>INDEX($C$6:$C$9,B34)</f>
        <v/>
      </c>
      <c r="F34" s="6">
        <f>INDEX($D$6:$D$9,B34)</f>
        <v/>
      </c>
      <c r="G34" s="15">
        <f>N33</f>
        <v/>
      </c>
      <c r="H34" s="15">
        <f>O33</f>
        <v/>
      </c>
      <c r="I34" s="15">
        <f>P33</f>
        <v/>
      </c>
      <c r="J34" s="16">
        <f>G34*C34+H34*D34+I34*E34</f>
        <v/>
      </c>
      <c r="K34" s="6">
        <f>IF(J34&gt;0,1,0)</f>
        <v/>
      </c>
      <c r="L34" s="6">
        <f>F34-K34</f>
        <v/>
      </c>
      <c r="M34" s="6">
        <f>IF(L34=0,"CORRECT","WRONG")</f>
        <v/>
      </c>
      <c r="N34" s="15">
        <f>G34+L34*C34</f>
        <v/>
      </c>
      <c r="O34" s="15">
        <f>H34+L34*D34</f>
        <v/>
      </c>
      <c r="P34" s="15">
        <f>I34+L34*E34</f>
        <v/>
      </c>
      <c r="Q34" s="6">
        <f>IF(L34=0,"V","X")</f>
        <v/>
      </c>
    </row>
    <row r="35">
      <c r="A35" s="6" t="n">
        <v>16</v>
      </c>
      <c r="B35" s="6" t="n">
        <v>4</v>
      </c>
      <c r="C35" s="5">
        <f>INDEX($A$6:$A$9,B35)</f>
        <v/>
      </c>
      <c r="D35" s="5">
        <f>INDEX($B$6:$B$9,B35)</f>
        <v/>
      </c>
      <c r="E35" s="5">
        <f>INDEX($C$6:$C$9,B35)</f>
        <v/>
      </c>
      <c r="F35" s="6">
        <f>INDEX($D$6:$D$9,B35)</f>
        <v/>
      </c>
      <c r="G35" s="15">
        <f>N34</f>
        <v/>
      </c>
      <c r="H35" s="15">
        <f>O34</f>
        <v/>
      </c>
      <c r="I35" s="15">
        <f>P34</f>
        <v/>
      </c>
      <c r="J35" s="16">
        <f>G35*C35+H35*D35+I35*E35</f>
        <v/>
      </c>
      <c r="K35" s="6">
        <f>IF(J35&gt;0,1,0)</f>
        <v/>
      </c>
      <c r="L35" s="6">
        <f>F35-K35</f>
        <v/>
      </c>
      <c r="M35" s="6">
        <f>IF(L35=0,"CORRECT","WRONG")</f>
        <v/>
      </c>
      <c r="N35" s="15">
        <f>G35+L35*C35</f>
        <v/>
      </c>
      <c r="O35" s="15">
        <f>H35+L35*D35</f>
        <v/>
      </c>
      <c r="P35" s="15">
        <f>I35+L35*E35</f>
        <v/>
      </c>
      <c r="Q35" s="6">
        <f>IF(L35=0,"V","X")</f>
        <v/>
      </c>
    </row>
    <row r="36">
      <c r="A36" s="6" t="n">
        <v>17</v>
      </c>
      <c r="B36" s="6" t="n">
        <v>1</v>
      </c>
      <c r="C36" s="5">
        <f>INDEX($A$6:$A$9,B36)</f>
        <v/>
      </c>
      <c r="D36" s="5">
        <f>INDEX($B$6:$B$9,B36)</f>
        <v/>
      </c>
      <c r="E36" s="5">
        <f>INDEX($C$6:$C$9,B36)</f>
        <v/>
      </c>
      <c r="F36" s="6">
        <f>INDEX($D$6:$D$9,B36)</f>
        <v/>
      </c>
      <c r="G36" s="15">
        <f>N35</f>
        <v/>
      </c>
      <c r="H36" s="15">
        <f>O35</f>
        <v/>
      </c>
      <c r="I36" s="15">
        <f>P35</f>
        <v/>
      </c>
      <c r="J36" s="16">
        <f>G36*C36+H36*D36+I36*E36</f>
        <v/>
      </c>
      <c r="K36" s="6">
        <f>IF(J36&gt;0,1,0)</f>
        <v/>
      </c>
      <c r="L36" s="6">
        <f>F36-K36</f>
        <v/>
      </c>
      <c r="M36" s="6">
        <f>IF(L36=0,"CORRECT","WRONG")</f>
        <v/>
      </c>
      <c r="N36" s="15">
        <f>G36+L36*C36</f>
        <v/>
      </c>
      <c r="O36" s="15">
        <f>H36+L36*D36</f>
        <v/>
      </c>
      <c r="P36" s="15">
        <f>I36+L36*E36</f>
        <v/>
      </c>
      <c r="Q36" s="6">
        <f>IF(L36=0,"V","X")</f>
        <v/>
      </c>
    </row>
    <row r="37">
      <c r="A37" s="6" t="n">
        <v>18</v>
      </c>
      <c r="B37" s="6" t="n">
        <v>2</v>
      </c>
      <c r="C37" s="5">
        <f>INDEX($A$6:$A$9,B37)</f>
        <v/>
      </c>
      <c r="D37" s="5">
        <f>INDEX($B$6:$B$9,B37)</f>
        <v/>
      </c>
      <c r="E37" s="5">
        <f>INDEX($C$6:$C$9,B37)</f>
        <v/>
      </c>
      <c r="F37" s="6">
        <f>INDEX($D$6:$D$9,B37)</f>
        <v/>
      </c>
      <c r="G37" s="15">
        <f>N36</f>
        <v/>
      </c>
      <c r="H37" s="15">
        <f>O36</f>
        <v/>
      </c>
      <c r="I37" s="15">
        <f>P36</f>
        <v/>
      </c>
      <c r="J37" s="16">
        <f>G37*C37+H37*D37+I37*E37</f>
        <v/>
      </c>
      <c r="K37" s="6">
        <f>IF(J37&gt;0,1,0)</f>
        <v/>
      </c>
      <c r="L37" s="6">
        <f>F37-K37</f>
        <v/>
      </c>
      <c r="M37" s="6">
        <f>IF(L37=0,"CORRECT","WRONG")</f>
        <v/>
      </c>
      <c r="N37" s="15">
        <f>G37+L37*C37</f>
        <v/>
      </c>
      <c r="O37" s="15">
        <f>H37+L37*D37</f>
        <v/>
      </c>
      <c r="P37" s="15">
        <f>I37+L37*E37</f>
        <v/>
      </c>
      <c r="Q37" s="6">
        <f>IF(L37=0,"V","X")</f>
        <v/>
      </c>
    </row>
    <row r="38">
      <c r="A38" s="6" t="n">
        <v>19</v>
      </c>
      <c r="B38" s="6" t="n">
        <v>3</v>
      </c>
      <c r="C38" s="5">
        <f>INDEX($A$6:$A$9,B38)</f>
        <v/>
      </c>
      <c r="D38" s="5">
        <f>INDEX($B$6:$B$9,B38)</f>
        <v/>
      </c>
      <c r="E38" s="5">
        <f>INDEX($C$6:$C$9,B38)</f>
        <v/>
      </c>
      <c r="F38" s="6">
        <f>INDEX($D$6:$D$9,B38)</f>
        <v/>
      </c>
      <c r="G38" s="15">
        <f>N37</f>
        <v/>
      </c>
      <c r="H38" s="15">
        <f>O37</f>
        <v/>
      </c>
      <c r="I38" s="15">
        <f>P37</f>
        <v/>
      </c>
      <c r="J38" s="16">
        <f>G38*C38+H38*D38+I38*E38</f>
        <v/>
      </c>
      <c r="K38" s="6">
        <f>IF(J38&gt;0,1,0)</f>
        <v/>
      </c>
      <c r="L38" s="6">
        <f>F38-K38</f>
        <v/>
      </c>
      <c r="M38" s="6">
        <f>IF(L38=0,"CORRECT","WRONG")</f>
        <v/>
      </c>
      <c r="N38" s="15">
        <f>G38+L38*C38</f>
        <v/>
      </c>
      <c r="O38" s="15">
        <f>H38+L38*D38</f>
        <v/>
      </c>
      <c r="P38" s="15">
        <f>I38+L38*E38</f>
        <v/>
      </c>
      <c r="Q38" s="6">
        <f>IF(L38=0,"V","X")</f>
        <v/>
      </c>
    </row>
    <row r="39">
      <c r="A39" s="6" t="n">
        <v>20</v>
      </c>
      <c r="B39" s="6" t="n">
        <v>4</v>
      </c>
      <c r="C39" s="5">
        <f>INDEX($A$6:$A$9,B39)</f>
        <v/>
      </c>
      <c r="D39" s="5">
        <f>INDEX($B$6:$B$9,B39)</f>
        <v/>
      </c>
      <c r="E39" s="5">
        <f>INDEX($C$6:$C$9,B39)</f>
        <v/>
      </c>
      <c r="F39" s="6">
        <f>INDEX($D$6:$D$9,B39)</f>
        <v/>
      </c>
      <c r="G39" s="15">
        <f>N38</f>
        <v/>
      </c>
      <c r="H39" s="15">
        <f>O38</f>
        <v/>
      </c>
      <c r="I39" s="15">
        <f>P38</f>
        <v/>
      </c>
      <c r="J39" s="16">
        <f>G39*C39+H39*D39+I39*E39</f>
        <v/>
      </c>
      <c r="K39" s="6">
        <f>IF(J39&gt;0,1,0)</f>
        <v/>
      </c>
      <c r="L39" s="6">
        <f>F39-K39</f>
        <v/>
      </c>
      <c r="M39" s="6">
        <f>IF(L39=0,"CORRECT","WRONG")</f>
        <v/>
      </c>
      <c r="N39" s="15">
        <f>G39+L39*C39</f>
        <v/>
      </c>
      <c r="O39" s="15">
        <f>H39+L39*D39</f>
        <v/>
      </c>
      <c r="P39" s="15">
        <f>I39+L39*E39</f>
        <v/>
      </c>
      <c r="Q39" s="6">
        <f>IF(L39=0,"V","X")</f>
        <v/>
      </c>
    </row>
    <row r="41">
      <c r="A41" s="3" t="inlineStr">
        <is>
          <t>LEARNING SUMMARY - How Did Our Robot Do?</t>
        </is>
      </c>
    </row>
    <row r="42">
      <c r="A42" s="17" t="inlineStr">
        <is>
          <t>Total Iterations:</t>
        </is>
      </c>
      <c r="B42" s="6">
        <f>20</f>
        <v/>
      </c>
    </row>
    <row r="43">
      <c r="A43" s="17" t="inlineStr">
        <is>
          <t>Correct:</t>
        </is>
      </c>
      <c r="B43" s="18">
        <f>COUNTIF(M20:M39,"CORRECT")</f>
        <v/>
      </c>
    </row>
    <row r="44">
      <c r="A44" s="17" t="inlineStr">
        <is>
          <t>Wrong:</t>
        </is>
      </c>
      <c r="B44" s="19">
        <f>COUNTIF(M20:M39,"WRONG")</f>
        <v/>
      </c>
    </row>
    <row r="45">
      <c r="A45" s="17" t="inlineStr">
        <is>
          <t>Final W0:</t>
        </is>
      </c>
      <c r="B45" s="6">
        <f>N39</f>
        <v/>
      </c>
      <c r="C45" s="17" t="inlineStr">
        <is>
          <t>Final W1:</t>
        </is>
      </c>
      <c r="D45" s="6">
        <f>O39</f>
        <v/>
      </c>
      <c r="E45" s="17" t="inlineStr">
        <is>
          <t>Final W2:</t>
        </is>
      </c>
      <c r="F45" s="6">
        <f>P39</f>
        <v/>
      </c>
    </row>
  </sheetData>
  <mergeCells count="10">
    <mergeCell ref="A41:F41"/>
    <mergeCell ref="A12:E12"/>
    <mergeCell ref="A17:Q17"/>
    <mergeCell ref="N18:P18"/>
    <mergeCell ref="A11:E11"/>
    <mergeCell ref="A2:Q2"/>
    <mergeCell ref="C18:E18"/>
    <mergeCell ref="G18:I18"/>
    <mergeCell ref="A4:F4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2026-01-13T18:05:17Z</dcterms:created>
  <dcterms:modified xsi:type="dcterms:W3CDTF">2026-01-13T18:05:17Z</dcterms:modified>
</cp:coreProperties>
</file>